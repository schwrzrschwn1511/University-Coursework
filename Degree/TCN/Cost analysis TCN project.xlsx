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6524" windowHeight="6372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E38" i="1" l="1"/>
  <c r="E37" i="1"/>
  <c r="E36" i="1"/>
  <c r="E31" i="1"/>
  <c r="E30" i="1"/>
  <c r="E29" i="1"/>
  <c r="E22" i="1"/>
  <c r="E23" i="1"/>
  <c r="E24" i="1"/>
  <c r="E20" i="1"/>
  <c r="D21" i="1"/>
  <c r="E21" i="1" s="1"/>
  <c r="E15" i="1"/>
  <c r="E14" i="1"/>
  <c r="E13" i="1"/>
  <c r="E12" i="1"/>
  <c r="E11" i="1"/>
  <c r="E10" i="1"/>
  <c r="E9" i="1"/>
  <c r="E8" i="1"/>
  <c r="E7" i="1"/>
  <c r="E6" i="1"/>
  <c r="E5" i="1"/>
  <c r="E39" i="1" l="1"/>
  <c r="E25" i="1"/>
  <c r="E16" i="1"/>
  <c r="E32" i="1"/>
</calcChain>
</file>

<file path=xl/sharedStrings.xml><?xml version="1.0" encoding="utf-8"?>
<sst xmlns="http://schemas.openxmlformats.org/spreadsheetml/2006/main" count="47" uniqueCount="35">
  <si>
    <t>COST ANALYSIS</t>
  </si>
  <si>
    <t>Product</t>
  </si>
  <si>
    <t>Price (RM)</t>
  </si>
  <si>
    <t>QTY</t>
  </si>
  <si>
    <t>Total (RM)</t>
  </si>
  <si>
    <t>S3910-24TF, 24-Port Gigabit Ethernet L2+ Switch</t>
  </si>
  <si>
    <t>Cisco 2901 Router ISR G2 CISCO2901/K9</t>
  </si>
  <si>
    <t>Cisco 2911 Integrated Services Router (2911 Router)</t>
  </si>
  <si>
    <t>Student Workstation</t>
  </si>
  <si>
    <t>Administrator/ Tutor/Instructor Workstation</t>
  </si>
  <si>
    <t>PowerEdge R7515 Rack Server</t>
  </si>
  <si>
    <t>Refurbished Cisco Access Point AIR-CAP3702i-C-K9</t>
  </si>
  <si>
    <t>GrowV 19' Floor Stand Rack Server Rack 24U (Perforated)
(P/G2480FS)</t>
  </si>
  <si>
    <t>FortiGate-80E Hardware plus 1 Year 24x7 FortiCare and FortiGuard Unified Threat Protection (UTP)</t>
  </si>
  <si>
    <t>HP LaserJet P3015 (CE528A)</t>
  </si>
  <si>
    <t>Seagate Skyhawk AI 16TB 3.5" HDD Surveillance NVR Hard Drive SATA 7200RPM Internal Hard Disk</t>
  </si>
  <si>
    <t>Subtotal</t>
  </si>
  <si>
    <t>A. NETWROK HARDWARE AND COMPONENT</t>
  </si>
  <si>
    <t>B. Network software and Configuration</t>
  </si>
  <si>
    <t>Qty</t>
  </si>
  <si>
    <t>Microsoft Windows Server 2019 Standard OEM PACK Standard 64- Bit License (16 Core, OEM) (2 CPUs / 2VM) (P73- 07788)</t>
  </si>
  <si>
    <t>PRTG Network Monitor</t>
  </si>
  <si>
    <t>Microsoft Windows 11 License</t>
  </si>
  <si>
    <t>Ubuntu 18.04 LTS</t>
  </si>
  <si>
    <t>Vmware Workstation 17.5</t>
  </si>
  <si>
    <t>C. Cabling and Sockets components</t>
  </si>
  <si>
    <t>CAT-6 Ethernet Cable (30M)</t>
  </si>
  <si>
    <t>RJ45 Cat6 Network Plugs/ Connector</t>
  </si>
  <si>
    <t>RS232 Serial DB9 9Pin Male to Male Extension Cable (5M)</t>
  </si>
  <si>
    <t>Task</t>
  </si>
  <si>
    <t>Rate per Hour (RM)</t>
  </si>
  <si>
    <t>Project Manager</t>
  </si>
  <si>
    <t>Network Engineer</t>
  </si>
  <si>
    <t>Technician</t>
  </si>
  <si>
    <t>D. Man-hour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</si>
</sst>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RM]#,##0.00"/>
    <numFmt numFmtId="176" formatCode="_-[$RM-4409]* #,##0.00_-;\-[$RM-4409]* #,##0.00_-;_-[$RM-4409]* &quot;-&quot;??_-;_-@_-"/>
  </numFmts>
  <fonts count="6" x14ac:knownFonts="1">
    <font>
      <sz val="10"/>
      <color rgb="FF000000"/>
      <name val="Arial"/>
      <scheme val="minor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19191A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2" fillId="0" borderId="1" xfId="0" applyFont="1" applyBorder="1" applyAlignment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E39"/>
  <sheetViews>
    <sheetView tabSelected="1" zoomScale="70" zoomScaleNormal="70" workbookViewId="0">
      <selection activeCell="B41" sqref="B2:E41"/>
    </sheetView>
  </sheetViews>
  <sheetFormatPr defaultColWidth="12.6640625" defaultRowHeight="15.75" customHeight="1" x14ac:dyDescent="0.25"/>
  <cols>
    <col min="2" max="2" width="61.109375" customWidth="1"/>
    <col min="3" max="3" width="13.33203125" customWidth="1"/>
    <col min="4" max="4" width="10.5546875" customWidth="1"/>
    <col min="5" max="5" width="14.44140625" customWidth="1"/>
  </cols>
  <sheetData>
    <row r="2" spans="2:5" ht="15.6" x14ac:dyDescent="0.3">
      <c r="B2" s="1" t="s">
        <v>0</v>
      </c>
      <c r="C2" s="2"/>
      <c r="D2" s="2"/>
      <c r="E2" s="2"/>
    </row>
    <row r="3" spans="2:5" ht="15.6" x14ac:dyDescent="0.3">
      <c r="B3" s="10" t="s">
        <v>17</v>
      </c>
      <c r="C3" s="11"/>
      <c r="D3" s="11"/>
      <c r="E3" s="11"/>
    </row>
    <row r="4" spans="2:5" ht="15.6" x14ac:dyDescent="0.3">
      <c r="B4" s="12" t="s">
        <v>1</v>
      </c>
      <c r="C4" s="12" t="s">
        <v>2</v>
      </c>
      <c r="D4" s="12" t="s">
        <v>3</v>
      </c>
      <c r="E4" s="12" t="s">
        <v>4</v>
      </c>
    </row>
    <row r="5" spans="2:5" ht="27" customHeight="1" x14ac:dyDescent="0.25">
      <c r="B5" s="18" t="s">
        <v>5</v>
      </c>
      <c r="C5" s="13">
        <v>1709</v>
      </c>
      <c r="D5" s="14">
        <v>7</v>
      </c>
      <c r="E5" s="13">
        <f t="shared" ref="E5:E15" si="0">C5*D5</f>
        <v>11963</v>
      </c>
    </row>
    <row r="6" spans="2:5" ht="27" customHeight="1" x14ac:dyDescent="0.25">
      <c r="B6" s="19" t="s">
        <v>6</v>
      </c>
      <c r="C6" s="13">
        <v>2620</v>
      </c>
      <c r="D6" s="14">
        <v>1</v>
      </c>
      <c r="E6" s="13">
        <f t="shared" si="0"/>
        <v>2620</v>
      </c>
    </row>
    <row r="7" spans="2:5" ht="27" customHeight="1" x14ac:dyDescent="0.25">
      <c r="B7" s="19" t="s">
        <v>7</v>
      </c>
      <c r="C7" s="13">
        <v>1000</v>
      </c>
      <c r="D7" s="14">
        <v>4</v>
      </c>
      <c r="E7" s="13">
        <f t="shared" si="0"/>
        <v>4000</v>
      </c>
    </row>
    <row r="8" spans="2:5" ht="27" customHeight="1" x14ac:dyDescent="0.25">
      <c r="B8" s="19" t="s">
        <v>8</v>
      </c>
      <c r="C8" s="13">
        <v>3500</v>
      </c>
      <c r="D8" s="14">
        <v>48</v>
      </c>
      <c r="E8" s="13">
        <f t="shared" si="0"/>
        <v>168000</v>
      </c>
    </row>
    <row r="9" spans="2:5" ht="27" customHeight="1" x14ac:dyDescent="0.25">
      <c r="B9" s="19" t="s">
        <v>9</v>
      </c>
      <c r="C9" s="13">
        <v>5000</v>
      </c>
      <c r="D9" s="14">
        <v>24</v>
      </c>
      <c r="E9" s="13">
        <f t="shared" si="0"/>
        <v>120000</v>
      </c>
    </row>
    <row r="10" spans="2:5" ht="27" customHeight="1" x14ac:dyDescent="0.25">
      <c r="B10" s="19" t="s">
        <v>10</v>
      </c>
      <c r="C10" s="13">
        <v>18910.14</v>
      </c>
      <c r="D10" s="14">
        <v>1</v>
      </c>
      <c r="E10" s="13">
        <f t="shared" si="0"/>
        <v>18910.14</v>
      </c>
    </row>
    <row r="11" spans="2:5" ht="27" customHeight="1" x14ac:dyDescent="0.25">
      <c r="B11" s="19" t="s">
        <v>11</v>
      </c>
      <c r="C11" s="13">
        <v>1900</v>
      </c>
      <c r="D11" s="14">
        <v>1</v>
      </c>
      <c r="E11" s="13">
        <f t="shared" si="0"/>
        <v>1900</v>
      </c>
    </row>
    <row r="12" spans="2:5" ht="27" customHeight="1" x14ac:dyDescent="0.25">
      <c r="B12" s="19" t="s">
        <v>12</v>
      </c>
      <c r="C12" s="13">
        <v>1250</v>
      </c>
      <c r="D12" s="14">
        <v>3</v>
      </c>
      <c r="E12" s="13">
        <f t="shared" si="0"/>
        <v>3750</v>
      </c>
    </row>
    <row r="13" spans="2:5" ht="27" customHeight="1" x14ac:dyDescent="0.25">
      <c r="B13" s="19" t="s">
        <v>13</v>
      </c>
      <c r="C13" s="13">
        <v>7000</v>
      </c>
      <c r="D13" s="14">
        <v>1</v>
      </c>
      <c r="E13" s="13">
        <f t="shared" si="0"/>
        <v>7000</v>
      </c>
    </row>
    <row r="14" spans="2:5" ht="27" customHeight="1" x14ac:dyDescent="0.25">
      <c r="B14" s="19" t="s">
        <v>14</v>
      </c>
      <c r="C14" s="13">
        <v>1097</v>
      </c>
      <c r="D14" s="14">
        <v>3</v>
      </c>
      <c r="E14" s="13">
        <f t="shared" si="0"/>
        <v>3291</v>
      </c>
    </row>
    <row r="15" spans="2:5" ht="27" customHeight="1" x14ac:dyDescent="0.25">
      <c r="B15" s="19" t="s">
        <v>15</v>
      </c>
      <c r="C15" s="13">
        <v>1165</v>
      </c>
      <c r="D15" s="14">
        <v>7</v>
      </c>
      <c r="E15" s="13">
        <f t="shared" si="0"/>
        <v>8155</v>
      </c>
    </row>
    <row r="16" spans="2:5" ht="27" customHeight="1" x14ac:dyDescent="0.25">
      <c r="B16" s="15" t="s">
        <v>16</v>
      </c>
      <c r="C16" s="16"/>
      <c r="D16" s="16"/>
      <c r="E16" s="17">
        <f>SUM(E5:E15)</f>
        <v>349589.14</v>
      </c>
    </row>
    <row r="17" spans="2:5" ht="15.6" x14ac:dyDescent="0.3">
      <c r="B17" s="3"/>
      <c r="C17" s="3"/>
      <c r="D17" s="3"/>
      <c r="E17" s="3"/>
    </row>
    <row r="18" spans="2:5" ht="15.6" x14ac:dyDescent="0.3">
      <c r="B18" s="5" t="s">
        <v>18</v>
      </c>
      <c r="C18" s="6"/>
      <c r="D18" s="6"/>
      <c r="E18" s="7"/>
    </row>
    <row r="19" spans="2:5" ht="15.6" customHeight="1" x14ac:dyDescent="0.25">
      <c r="B19" s="8" t="s">
        <v>1</v>
      </c>
      <c r="C19" s="8" t="s">
        <v>2</v>
      </c>
      <c r="D19" s="8" t="s">
        <v>19</v>
      </c>
      <c r="E19" s="8" t="s">
        <v>4</v>
      </c>
    </row>
    <row r="20" spans="2:5" ht="27" customHeight="1" x14ac:dyDescent="0.25">
      <c r="B20" s="20" t="s">
        <v>20</v>
      </c>
      <c r="C20" s="23">
        <v>3500</v>
      </c>
      <c r="D20" s="21">
        <v>1</v>
      </c>
      <c r="E20" s="23">
        <f>C20*D20</f>
        <v>3500</v>
      </c>
    </row>
    <row r="21" spans="2:5" ht="27" customHeight="1" x14ac:dyDescent="0.25">
      <c r="B21" s="20" t="s">
        <v>22</v>
      </c>
      <c r="C21" s="23">
        <v>344</v>
      </c>
      <c r="D21" s="21">
        <f>D8+D9</f>
        <v>72</v>
      </c>
      <c r="E21" s="23">
        <f t="shared" ref="E21:E24" si="1">C21*D21</f>
        <v>24768</v>
      </c>
    </row>
    <row r="22" spans="2:5" ht="27" customHeight="1" x14ac:dyDescent="0.25">
      <c r="B22" s="20" t="s">
        <v>21</v>
      </c>
      <c r="C22" s="23">
        <v>0</v>
      </c>
      <c r="D22" s="21">
        <v>1</v>
      </c>
      <c r="E22" s="23">
        <f t="shared" si="1"/>
        <v>0</v>
      </c>
    </row>
    <row r="23" spans="2:5" ht="27" customHeight="1" x14ac:dyDescent="0.25">
      <c r="B23" s="20" t="s">
        <v>23</v>
      </c>
      <c r="C23" s="23">
        <v>0</v>
      </c>
      <c r="D23" s="22">
        <v>1</v>
      </c>
      <c r="E23" s="23">
        <f t="shared" si="1"/>
        <v>0</v>
      </c>
    </row>
    <row r="24" spans="2:5" ht="27" customHeight="1" x14ac:dyDescent="0.25">
      <c r="B24" s="20" t="s">
        <v>24</v>
      </c>
      <c r="C24" s="23">
        <v>42.77</v>
      </c>
      <c r="D24" s="22">
        <v>1</v>
      </c>
      <c r="E24" s="23">
        <f t="shared" si="1"/>
        <v>42.77</v>
      </c>
    </row>
    <row r="25" spans="2:5" ht="27" customHeight="1" x14ac:dyDescent="0.25">
      <c r="B25" s="24" t="s">
        <v>16</v>
      </c>
      <c r="C25" s="25"/>
      <c r="D25" s="26"/>
      <c r="E25" s="23">
        <f>SUM(E20:E24)</f>
        <v>28310.77</v>
      </c>
    </row>
    <row r="27" spans="2:5" ht="15.75" customHeight="1" x14ac:dyDescent="0.3">
      <c r="B27" s="5" t="s">
        <v>25</v>
      </c>
      <c r="C27" s="6"/>
      <c r="D27" s="6"/>
      <c r="E27" s="7"/>
    </row>
    <row r="28" spans="2:5" ht="15.75" customHeight="1" x14ac:dyDescent="0.25">
      <c r="B28" s="8" t="s">
        <v>1</v>
      </c>
      <c r="C28" s="8" t="s">
        <v>2</v>
      </c>
      <c r="D28" s="8" t="s">
        <v>19</v>
      </c>
      <c r="E28" s="8" t="s">
        <v>4</v>
      </c>
    </row>
    <row r="29" spans="2:5" ht="15.75" customHeight="1" x14ac:dyDescent="0.3">
      <c r="B29" s="4" t="s">
        <v>26</v>
      </c>
      <c r="C29" s="23">
        <v>45</v>
      </c>
      <c r="D29" s="21">
        <v>7</v>
      </c>
      <c r="E29" s="23">
        <f>C29*D29</f>
        <v>315</v>
      </c>
    </row>
    <row r="30" spans="2:5" ht="15.75" customHeight="1" x14ac:dyDescent="0.3">
      <c r="B30" s="4" t="s">
        <v>27</v>
      </c>
      <c r="C30" s="23">
        <v>50</v>
      </c>
      <c r="D30" s="21">
        <v>70</v>
      </c>
      <c r="E30" s="23">
        <f t="shared" ref="E30:E31" si="2">C30*D30</f>
        <v>3500</v>
      </c>
    </row>
    <row r="31" spans="2:5" ht="15.75" customHeight="1" x14ac:dyDescent="0.3">
      <c r="B31" s="4" t="s">
        <v>28</v>
      </c>
      <c r="C31" s="23">
        <v>30</v>
      </c>
      <c r="D31" s="21">
        <v>6</v>
      </c>
      <c r="E31" s="23">
        <f t="shared" si="2"/>
        <v>180</v>
      </c>
    </row>
    <row r="32" spans="2:5" ht="15.75" customHeight="1" x14ac:dyDescent="0.25">
      <c r="B32" s="27" t="s">
        <v>16</v>
      </c>
      <c r="C32" s="27"/>
      <c r="D32" s="27"/>
      <c r="E32" s="23">
        <f>SUM(E29:E31)</f>
        <v>3995</v>
      </c>
    </row>
    <row r="34" spans="2:5" ht="27" customHeight="1" x14ac:dyDescent="0.25">
      <c r="B34" s="24" t="s">
        <v>34</v>
      </c>
      <c r="C34" s="25"/>
      <c r="D34" s="25"/>
      <c r="E34" s="26"/>
    </row>
    <row r="35" spans="2:5" ht="27" customHeight="1" x14ac:dyDescent="0.25">
      <c r="B35" s="9" t="s">
        <v>29</v>
      </c>
      <c r="C35" s="9" t="s">
        <v>30</v>
      </c>
      <c r="D35" s="9" t="s">
        <v>19</v>
      </c>
      <c r="E35" s="9" t="s">
        <v>4</v>
      </c>
    </row>
    <row r="36" spans="2:5" ht="27" customHeight="1" x14ac:dyDescent="0.25">
      <c r="B36" s="20" t="s">
        <v>31</v>
      </c>
      <c r="C36" s="28">
        <v>30</v>
      </c>
      <c r="D36" s="29">
        <v>320</v>
      </c>
      <c r="E36" s="28">
        <f>C36*D36</f>
        <v>9600</v>
      </c>
    </row>
    <row r="37" spans="2:5" ht="27" customHeight="1" x14ac:dyDescent="0.25">
      <c r="B37" s="20" t="s">
        <v>32</v>
      </c>
      <c r="C37" s="28">
        <v>40</v>
      </c>
      <c r="D37" s="29">
        <v>320</v>
      </c>
      <c r="E37" s="28">
        <f t="shared" ref="E37:E38" si="3">C37*D37</f>
        <v>12800</v>
      </c>
    </row>
    <row r="38" spans="2:5" ht="27" customHeight="1" x14ac:dyDescent="0.25">
      <c r="B38" s="20" t="s">
        <v>33</v>
      </c>
      <c r="C38" s="28">
        <v>15</v>
      </c>
      <c r="D38" s="29">
        <v>250</v>
      </c>
      <c r="E38" s="28">
        <f t="shared" si="3"/>
        <v>3750</v>
      </c>
    </row>
    <row r="39" spans="2:5" ht="27" customHeight="1" x14ac:dyDescent="0.25">
      <c r="B39" s="30" t="s">
        <v>16</v>
      </c>
      <c r="C39" s="30"/>
      <c r="D39" s="30"/>
      <c r="E39" s="28">
        <f>SUM(E36:E38)</f>
        <v>26150</v>
      </c>
    </row>
  </sheetData>
  <mergeCells count="9">
    <mergeCell ref="B27:E27"/>
    <mergeCell ref="B32:D32"/>
    <mergeCell ref="B34:E34"/>
    <mergeCell ref="B39:D39"/>
    <mergeCell ref="B3:E3"/>
    <mergeCell ref="B2:E2"/>
    <mergeCell ref="B16:D16"/>
    <mergeCell ref="B18:E18"/>
    <mergeCell ref="B25:D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2024-01-31T09:31:17Z</dcterms:modified>
</cp:coreProperties>
</file>